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Users\cristian.rebonatto\Desktop\"/>
    </mc:Choice>
  </mc:AlternateContent>
  <xr:revisionPtr revIDLastSave="0" documentId="13_ncr:1_{DDA4C74C-B01C-4204-8152-36E3E04E9081}" xr6:coauthVersionLast="47" xr6:coauthVersionMax="47" xr10:uidLastSave="{00000000-0000-0000-0000-000000000000}"/>
  <bookViews>
    <workbookView xWindow="-110" yWindow="-110" windowWidth="19420" windowHeight="10300" xr2:uid="{62BE3215-816F-4B8D-B28F-D6150383C307}"/>
  </bookViews>
  <sheets>
    <sheet name="Menu" sheetId="1" r:id="rId1"/>
    <sheet name="Resultados" sheetId="3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0" i="3" l="1"/>
  <c r="J10" i="3"/>
</calcChain>
</file>

<file path=xl/sharedStrings.xml><?xml version="1.0" encoding="utf-8"?>
<sst xmlns="http://schemas.openxmlformats.org/spreadsheetml/2006/main" count="17" uniqueCount="16">
  <si>
    <t>SimulaVerde - Simulador Empresarial de Pegada Ecológica</t>
  </si>
  <si>
    <t>Empresa</t>
  </si>
  <si>
    <t>Setor</t>
  </si>
  <si>
    <t>Energia</t>
  </si>
  <si>
    <t>Água</t>
  </si>
  <si>
    <t>CO²</t>
  </si>
  <si>
    <t>Reciclado</t>
  </si>
  <si>
    <t>Renovável</t>
  </si>
  <si>
    <t>Pontuação</t>
  </si>
  <si>
    <t>Selo ecológico</t>
  </si>
  <si>
    <t>Serviços</t>
  </si>
  <si>
    <t>SimulaVerde - RESULTADOS</t>
  </si>
  <si>
    <t>SENAI</t>
  </si>
  <si>
    <t>SELO</t>
  </si>
  <si>
    <t>Rec.</t>
  </si>
  <si>
    <t>Ren.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</si>
</sst>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b/>
      <sz val="28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theme="1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2" borderId="0" xfId="0" applyFill="1"/>
    <xf numFmtId="0" fontId="0" fillId="0" borderId="0" xfId="0" applyAlignment="1">
      <alignment horizontal="center"/>
    </xf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0" fillId="4" borderId="0" xfId="0" applyFill="1"/>
    <xf numFmtId="0" fontId="4" fillId="2" borderId="0" xfId="0" applyFont="1" applyFill="1"/>
  </cellXfs>
  <cellStyles count="1">
    <cellStyle name="Normal" xfId="0" builtinId="0"/>
  </cellStyles>
  <dxfs count="15"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b/>
        <strike val="0"/>
        <outline val="0"/>
        <shadow val="0"/>
        <u val="none"/>
        <vertAlign val="baseline"/>
        <sz val="28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Perfil Ambiental - SENAI</a:t>
            </a:r>
          </a:p>
        </c:rich>
      </c:tx>
      <c:layout>
        <c:manualLayout>
          <c:xMode val="edge"/>
          <c:yMode val="edge"/>
          <c:x val="0.39446957309250075"/>
          <c:y val="2.523659305993690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v>SENAI</c:v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Resultados!$C$9:$G$9</c:f>
              <c:strCache>
                <c:ptCount val="5"/>
                <c:pt idx="0">
                  <c:v>Energia</c:v>
                </c:pt>
                <c:pt idx="1">
                  <c:v>Água</c:v>
                </c:pt>
                <c:pt idx="2">
                  <c:v>CO²</c:v>
                </c:pt>
                <c:pt idx="3">
                  <c:v>Reciclado</c:v>
                </c:pt>
                <c:pt idx="4">
                  <c:v>Renovável</c:v>
                </c:pt>
              </c:strCache>
            </c:strRef>
          </c:cat>
          <c:val>
            <c:numRef>
              <c:f>Resultados!$C$10:$G$10</c:f>
              <c:numCache>
                <c:formatCode>General</c:formatCode>
                <c:ptCount val="5"/>
                <c:pt idx="0">
                  <c:v>450</c:v>
                </c:pt>
                <c:pt idx="1">
                  <c:v>1200</c:v>
                </c:pt>
                <c:pt idx="2">
                  <c:v>3</c:v>
                </c:pt>
                <c:pt idx="3">
                  <c:v>76</c:v>
                </c:pt>
                <c:pt idx="4">
                  <c:v>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0EA-4243-8EE6-44D856C354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4608399"/>
        <c:axId val="1684602639"/>
      </c:radarChart>
      <c:catAx>
        <c:axId val="16846083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84602639"/>
        <c:crosses val="autoZero"/>
        <c:auto val="1"/>
        <c:lblAlgn val="ctr"/>
        <c:lblOffset val="100"/>
        <c:noMultiLvlLbl val="0"/>
      </c:catAx>
      <c:valAx>
        <c:axId val="16846026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846083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3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31750</xdr:colOff>
          <xdr:row>7</xdr:row>
          <xdr:rowOff>25400</xdr:rowOff>
        </xdr:from>
        <xdr:to>
          <xdr:col>3</xdr:col>
          <xdr:colOff>222250</xdr:colOff>
          <xdr:row>9</xdr:row>
          <xdr:rowOff>158750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INICIAR SIMULAÇÃO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10</xdr:row>
          <xdr:rowOff>152400</xdr:rowOff>
        </xdr:from>
        <xdr:to>
          <xdr:col>3</xdr:col>
          <xdr:colOff>215900</xdr:colOff>
          <xdr:row>13</xdr:row>
          <xdr:rowOff>120650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VER RESULTADOS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31750</xdr:colOff>
          <xdr:row>14</xdr:row>
          <xdr:rowOff>127000</xdr:rowOff>
        </xdr:from>
        <xdr:to>
          <xdr:col>3</xdr:col>
          <xdr:colOff>228600</xdr:colOff>
          <xdr:row>17</xdr:row>
          <xdr:rowOff>76200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31750</xdr:colOff>
          <xdr:row>3</xdr:row>
          <xdr:rowOff>44450</xdr:rowOff>
        </xdr:from>
        <xdr:to>
          <xdr:col>3</xdr:col>
          <xdr:colOff>241300</xdr:colOff>
          <xdr:row>5</xdr:row>
          <xdr:rowOff>177800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SOBRE O SIMULADOR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69850</xdr:colOff>
          <xdr:row>3</xdr:row>
          <xdr:rowOff>63500</xdr:rowOff>
        </xdr:from>
        <xdr:to>
          <xdr:col>7</xdr:col>
          <xdr:colOff>279400</xdr:colOff>
          <xdr:row>5</xdr:row>
          <xdr:rowOff>177800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CALCULAR PEGADA CO²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63500</xdr:colOff>
          <xdr:row>7</xdr:row>
          <xdr:rowOff>6350</xdr:rowOff>
        </xdr:from>
        <xdr:to>
          <xdr:col>7</xdr:col>
          <xdr:colOff>266700</xdr:colOff>
          <xdr:row>9</xdr:row>
          <xdr:rowOff>133350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CALCULAR % RECICLAGEM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50800</xdr:colOff>
          <xdr:row>10</xdr:row>
          <xdr:rowOff>146050</xdr:rowOff>
        </xdr:from>
        <xdr:to>
          <xdr:col>7</xdr:col>
          <xdr:colOff>273050</xdr:colOff>
          <xdr:row>13</xdr:row>
          <xdr:rowOff>82550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CALCULAR % MP RENOVÁVEL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</xdr:row>
      <xdr:rowOff>25400</xdr:rowOff>
    </xdr:from>
    <xdr:to>
      <xdr:col>9</xdr:col>
      <xdr:colOff>0</xdr:colOff>
      <xdr:row>33</xdr:row>
      <xdr:rowOff>82550</xdr:rowOff>
    </xdr:to>
    <xdr:graphicFrame macro="">
      <xdr:nvGraphicFramePr>
        <xdr:cNvPr id="6" name="GraficoRadar">
          <a:extLst>
            <a:ext uri="{FF2B5EF4-FFF2-40B4-BE49-F238E27FC236}">
              <a16:creationId xmlns:a16="http://schemas.microsoft.com/office/drawing/2014/main" id="{EC6A2494-5B99-588E-A173-C29BE936B46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146050</xdr:rowOff>
        </xdr:from>
        <xdr:to>
          <xdr:col>1</xdr:col>
          <xdr:colOff>222250</xdr:colOff>
          <xdr:row>6</xdr:row>
          <xdr:rowOff>88900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ATUALIZAR GRÁFICOS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304800</xdr:colOff>
          <xdr:row>3</xdr:row>
          <xdr:rowOff>146050</xdr:rowOff>
        </xdr:from>
        <xdr:to>
          <xdr:col>2</xdr:col>
          <xdr:colOff>609600</xdr:colOff>
          <xdr:row>6</xdr:row>
          <xdr:rowOff>82550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LIMPAR RESULTADOS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47B6EE6-505A-431A-9A96-65C144489823}" name="Tabela1" displayName="Tabela1" ref="A9:J10" totalsRowShown="0" headerRowDxfId="14" dataDxfId="13">
  <autoFilter ref="A9:J10" xr:uid="{047B6EE6-505A-431A-9A96-65C144489823}"/>
  <tableColumns count="10">
    <tableColumn id="1" xr3:uid="{62B9D7C1-527B-420B-95F0-0FDFB1945215}" name="Empresa" dataDxfId="12"/>
    <tableColumn id="2" xr3:uid="{7C2B0745-3D51-4817-B75A-7019077F078C}" name="Setor" dataDxfId="11"/>
    <tableColumn id="3" xr3:uid="{3F978302-592B-4A56-B2B6-F6762CC3536C}" name="Energia" dataDxfId="10"/>
    <tableColumn id="4" xr3:uid="{8A5715CA-DE1F-4E93-AAA2-BF806A2222FF}" name="Água" dataDxfId="9"/>
    <tableColumn id="5" xr3:uid="{58E6DF37-957C-407D-A75D-D5ED0FE625A0}" name="CO²" dataDxfId="8"/>
    <tableColumn id="6" xr3:uid="{24CB558F-210C-4CF4-A6F3-E46EFC3745D0}" name="Reciclado" dataDxfId="7"/>
    <tableColumn id="7" xr3:uid="{78081D4A-53F8-4354-B1DA-0707D481321E}" name="Renovável" dataDxfId="6"/>
    <tableColumn id="8" xr3:uid="{67057C86-98BE-4D90-814E-AACBB2D4B229}" name="Pontuação" dataDxfId="5"/>
    <tableColumn id="9" xr3:uid="{366A120F-2882-48DF-A7A7-045F41B52CE8}" name="Selo ecológico" dataDxfId="4">
      <calculatedColumnFormula>IF(H10&lt;=40,"SELO BROTO",IF(H10&lt;70,"SELO FOLHA",IF(H10&lt;=100,"SELO RAIZ","")))</calculatedColumnFormula>
    </tableColumn>
    <tableColumn id="10" xr3:uid="{5A18A03A-DF70-44F9-88D8-880285816DB0}" name="SELO" dataDxfId="3">
      <calculatedColumnFormula>Tabela1[[#This Row],[Pontuação]]</calculatedColumnFormula>
    </tableColumn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B128AA-2AED-4899-9C34-BE68EB6F703D}">
  <sheetPr codeName="Planilha1"/>
  <dimension ref="A1:S18"/>
  <sheetViews>
    <sheetView showGridLines="0" tabSelected="1" workbookViewId="0">
      <selection activeCell="Q14" sqref="Q13:Q15"/>
    </sheetView>
  </sheetViews>
  <sheetFormatPr defaultRowHeight="14.5" x14ac:dyDescent="0.35"/>
  <cols>
    <col min="1" max="16384" width="8.7265625" style="1"/>
  </cols>
  <sheetData>
    <row r="1" spans="1:19" x14ac:dyDescent="0.35">
      <c r="A1" s="5" t="s">
        <v>0</v>
      </c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</row>
    <row r="2" spans="1:19" x14ac:dyDescent="0.35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</row>
    <row r="3" spans="1:19" x14ac:dyDescent="0.35">
      <c r="A3" s="5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</row>
    <row r="16" spans="1:19" x14ac:dyDescent="0.35">
      <c r="E16" s="7" t="s">
        <v>5</v>
      </c>
      <c r="F16" s="6"/>
    </row>
    <row r="17" spans="5:6" x14ac:dyDescent="0.35">
      <c r="E17" s="7" t="s">
        <v>14</v>
      </c>
      <c r="F17" s="6"/>
    </row>
    <row r="18" spans="5:6" x14ac:dyDescent="0.35">
      <c r="E18" s="7" t="s">
        <v>15</v>
      </c>
      <c r="F18" s="6"/>
    </row>
  </sheetData>
  <mergeCells count="1">
    <mergeCell ref="A1:S3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3" name="Button 5">
              <controlPr defaultSize="0" print="0" autoFill="0" autoPict="0" macro="[0]!Planilha1.IniciarSimulacao">
                <anchor moveWithCells="1" sizeWithCells="1">
                  <from>
                    <xdr:col>0</xdr:col>
                    <xdr:colOff>31750</xdr:colOff>
                    <xdr:row>7</xdr:row>
                    <xdr:rowOff>25400</xdr:rowOff>
                  </from>
                  <to>
                    <xdr:col>3</xdr:col>
                    <xdr:colOff>222250</xdr:colOff>
                    <xdr:row>9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Planilha1.VerResultados">
                <anchor moveWithCells="1" sizeWithCells="1">
                  <from>
                    <xdr:col>0</xdr:col>
                    <xdr:colOff>38100</xdr:colOff>
                    <xdr:row>10</xdr:row>
                    <xdr:rowOff>152400</xdr:rowOff>
                  </from>
                  <to>
                    <xdr:col>3</xdr:col>
                    <xdr:colOff>215900</xdr:colOff>
                    <xdr:row>13</xdr:row>
                    <xdr:rowOff>120650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Planilha1.ResetarSimulacao">
                <anchor moveWithCells="1" sizeWithCells="1">
                  <from>
                    <xdr:col>0</xdr:col>
                    <xdr:colOff>31750</xdr:colOff>
                    <xdr:row>14</xdr:row>
                    <xdr:rowOff>127000</xdr:rowOff>
                  </from>
                  <to>
                    <xdr:col>3</xdr:col>
                    <xdr:colOff>228600</xdr:colOff>
                    <xdr:row>17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6" name="Button 9">
              <controlPr defaultSize="0" print="0" autoFill="0" autoPict="0" macro="[0]!Planilha1.SobreSimulador">
                <anchor moveWithCells="1" sizeWithCells="1">
                  <from>
                    <xdr:col>0</xdr:col>
                    <xdr:colOff>31750</xdr:colOff>
                    <xdr:row>3</xdr:row>
                    <xdr:rowOff>44450</xdr:rowOff>
                  </from>
                  <to>
                    <xdr:col>3</xdr:col>
                    <xdr:colOff>241300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7" name="Button 10">
              <controlPr defaultSize="0" print="0" autoFill="0" autoPict="0" macro="[0]!PegadaCO">
                <anchor moveWithCells="1" sizeWithCells="1">
                  <from>
                    <xdr:col>4</xdr:col>
                    <xdr:colOff>69850</xdr:colOff>
                    <xdr:row>3</xdr:row>
                    <xdr:rowOff>63500</xdr:rowOff>
                  </from>
                  <to>
                    <xdr:col>7</xdr:col>
                    <xdr:colOff>279400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8" name="Button 11">
              <controlPr defaultSize="0" print="0" autoFill="0" autoPict="0" macro="[0]!Reciclagem">
                <anchor moveWithCells="1" sizeWithCells="1">
                  <from>
                    <xdr:col>4</xdr:col>
                    <xdr:colOff>63500</xdr:colOff>
                    <xdr:row>7</xdr:row>
                    <xdr:rowOff>6350</xdr:rowOff>
                  </from>
                  <to>
                    <xdr:col>7</xdr:col>
                    <xdr:colOff>266700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print="0" autoFill="0" autoPict="0" macro="[0]!Botão12_Clique">
                <anchor moveWithCells="1" sizeWithCells="1">
                  <from>
                    <xdr:col>4</xdr:col>
                    <xdr:colOff>50800</xdr:colOff>
                    <xdr:row>10</xdr:row>
                    <xdr:rowOff>146050</xdr:rowOff>
                  </from>
                  <to>
                    <xdr:col>7</xdr:col>
                    <xdr:colOff>273050</xdr:colOff>
                    <xdr:row>13</xdr:row>
                    <xdr:rowOff>82550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72049C-91A6-49E7-9657-6ADCB1D13561}">
  <sheetPr codeName="Planilha3"/>
  <dimension ref="A1:L10"/>
  <sheetViews>
    <sheetView showGridLines="0" workbookViewId="0">
      <selection activeCell="J17" sqref="J17"/>
    </sheetView>
  </sheetViews>
  <sheetFormatPr defaultRowHeight="14.5" x14ac:dyDescent="0.35"/>
  <cols>
    <col min="1" max="1" width="27.36328125" customWidth="1"/>
    <col min="2" max="2" width="19.81640625" customWidth="1"/>
    <col min="3" max="8" width="13.54296875" customWidth="1"/>
    <col min="9" max="9" width="19" customWidth="1"/>
    <col min="10" max="10" width="15.6328125" customWidth="1"/>
  </cols>
  <sheetData>
    <row r="1" spans="1:12" x14ac:dyDescent="0.35">
      <c r="A1" s="5" t="s">
        <v>11</v>
      </c>
      <c r="B1" s="5"/>
      <c r="C1" s="5"/>
      <c r="D1" s="5"/>
      <c r="E1" s="5"/>
      <c r="F1" s="5"/>
      <c r="G1" s="5"/>
      <c r="H1" s="5"/>
      <c r="I1" s="5"/>
      <c r="J1" s="5"/>
      <c r="K1" s="5"/>
      <c r="L1" s="5"/>
    </row>
    <row r="2" spans="1:12" x14ac:dyDescent="0.35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</row>
    <row r="3" spans="1:12" x14ac:dyDescent="0.35">
      <c r="A3" s="5"/>
      <c r="B3" s="5"/>
      <c r="C3" s="5"/>
      <c r="D3" s="5"/>
      <c r="E3" s="5"/>
      <c r="F3" s="5"/>
      <c r="G3" s="5"/>
      <c r="H3" s="5"/>
      <c r="I3" s="5"/>
      <c r="J3" s="5"/>
      <c r="K3" s="5"/>
      <c r="L3" s="5"/>
    </row>
    <row r="9" spans="1:12" ht="24.5" customHeight="1" x14ac:dyDescent="0.35">
      <c r="A9" s="2" t="s">
        <v>1</v>
      </c>
      <c r="B9" s="2" t="s">
        <v>2</v>
      </c>
      <c r="C9" s="2" t="s">
        <v>3</v>
      </c>
      <c r="D9" s="2" t="s">
        <v>4</v>
      </c>
      <c r="E9" s="2" t="s">
        <v>5</v>
      </c>
      <c r="F9" s="2" t="s">
        <v>6</v>
      </c>
      <c r="G9" s="2" t="s">
        <v>7</v>
      </c>
      <c r="H9" s="2" t="s">
        <v>8</v>
      </c>
      <c r="I9" s="2" t="s">
        <v>9</v>
      </c>
      <c r="J9" s="2" t="s">
        <v>13</v>
      </c>
    </row>
    <row r="10" spans="1:12" ht="37" x14ac:dyDescent="0.35">
      <c r="A10" s="3" t="s">
        <v>12</v>
      </c>
      <c r="B10" s="3" t="s">
        <v>10</v>
      </c>
      <c r="C10" s="3">
        <v>450</v>
      </c>
      <c r="D10" s="3">
        <v>1200</v>
      </c>
      <c r="E10" s="3">
        <v>3</v>
      </c>
      <c r="F10" s="3">
        <v>76</v>
      </c>
      <c r="G10" s="3">
        <v>66</v>
      </c>
      <c r="H10" s="3">
        <v>76.2</v>
      </c>
      <c r="I10" s="3" t="str">
        <f t="shared" ref="I10" si="0">IF(H10&lt;=40,"SELO BROTO",IF(H10&lt;70,"SELO FOLHA",IF(H10&lt;=100,"SELO RAIZ","")))</f>
        <v>SELO RAIZ</v>
      </c>
      <c r="J10" s="4">
        <f>Tabela1[[#This Row],[Pontuação]]</f>
        <v>76.2</v>
      </c>
    </row>
  </sheetData>
  <mergeCells count="1">
    <mergeCell ref="A1:L3"/>
  </mergeCells>
  <conditionalFormatting sqref="H10">
    <cfRule type="expression" dxfId="2" priority="3">
      <formula>H10&gt;=70</formula>
    </cfRule>
    <cfRule type="expression" dxfId="1" priority="4">
      <formula>AND(H10&gt;40,H10&lt;70)</formula>
    </cfRule>
    <cfRule type="expression" dxfId="0" priority="5">
      <formula>H10&lt;=40</formula>
    </cfRule>
  </conditionalFormatting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6" r:id="rId3" name="Button 4">
              <controlPr defaultSize="0" print="0" autoFill="0" autoPict="0" macro="[0]!Planilha3.AtualizarGraficos">
                <anchor moveWithCells="1" sizeWithCells="1">
                  <from>
                    <xdr:col>0</xdr:col>
                    <xdr:colOff>101600</xdr:colOff>
                    <xdr:row>3</xdr:row>
                    <xdr:rowOff>146050</xdr:rowOff>
                  </from>
                  <to>
                    <xdr:col>1</xdr:col>
                    <xdr:colOff>222250</xdr:colOff>
                    <xdr:row>6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4" name="Button 5">
              <controlPr defaultSize="0" print="0" autoFill="0" autoPict="0" macro="[0]!Planilha1.ResetarSimulacao">
                <anchor moveWithCells="1" sizeWithCells="1">
                  <from>
                    <xdr:col>1</xdr:col>
                    <xdr:colOff>304800</xdr:colOff>
                    <xdr:row>3</xdr:row>
                    <xdr:rowOff>146050</xdr:rowOff>
                  </from>
                  <to>
                    <xdr:col>2</xdr:col>
                    <xdr:colOff>609600</xdr:colOff>
                    <xdr:row>6</xdr:row>
                    <xdr:rowOff>82550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" id="{AFAFCAD6-B50D-4BE2-B891-CE473F2B81F1}">
            <x14:iconSet iconSet="3Stars" custom="1">
              <x14:cfvo type="percent">
                <xm:f>0</xm:f>
              </x14:cfvo>
              <x14:cfvo type="num">
                <xm:f>0</xm:f>
              </x14:cfvo>
              <x14:cfvo type="num">
                <xm:f>40</xm:f>
              </x14:cfvo>
              <x14:cfIcon iconSet="3Stars" iconId="2"/>
              <x14:cfIcon iconSet="3Stars" iconId="0"/>
              <x14:cfIcon iconSet="3Stars" iconId="1"/>
            </x14:iconSet>
          </x14:cfRule>
          <xm:sqref>J1:J1048576</xm:sqref>
        </x14:conditionalFormatting>
        <x14:conditionalFormatting xmlns:xm="http://schemas.microsoft.com/office/excel/2006/main">
          <x14:cfRule type="iconSet" priority="40" id="{A391A66F-D410-4068-A26E-86228AC9C507}">
            <x14:iconSet iconSet="3Stars" showValue="0">
              <x14:cfvo type="percent">
                <xm:f>0</xm:f>
              </x14:cfvo>
              <x14:cfvo type="num">
                <xm:f>40</xm:f>
              </x14:cfvo>
              <x14:cfvo type="num">
                <xm:f>70</xm:f>
              </x14:cfvo>
            </x14:iconSet>
          </x14:cfRule>
          <xm:sqref>J10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Menu</vt:lpstr>
      <vt:lpstr>Resultados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CRISTIAN REBONATTO</dc:creator>
  <cp:lastModifiedBy>CRISTIAN REBONATTO</cp:lastModifiedBy>
  <dcterms:created xsi:type="dcterms:W3CDTF">2025-05-06T12:59:27Z</dcterms:created>
  <dcterms:modified xsi:type="dcterms:W3CDTF">2025-05-13T00:12:55Z</dcterms:modified>
</cp:coreProperties>
</file>